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·Үндсэн мах" sheetId="1" state="visible" r:id="rId3"/>
    <sheet name="2·Дагалдах хоол" sheetId="2" state="visible" r:id="rId4"/>
    <sheet name="3·Cook Yield" sheetId="3" state="visible" r:id="rId5"/>
    <sheet name="4·Идэх хандлага" sheetId="4" state="visible" r:id="rId6"/>
    <sheet name="5·Эрүүл ахуй HACCP" sheetId="5" state="visible" r:id="rId7"/>
    <sheet name="6·Сав баглаа" sheetId="6" state="visible" r:id="rId8"/>
    <sheet name="7·Стандартын статус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NOMAAD</author>
  </authors>
  <commentList>
    <comment ref="K8" authorId="0">
      <text>
        <r>
          <rPr>
            <sz val="10"/>
            <rFont val="Arial"/>
            <family val="2"/>
          </rPr>
          <t xml:space="preserve">Шэйр — тогооны тоо = ОВОО(хүн/8.5)+1 нөөц</t>
        </r>
      </text>
    </comment>
    <comment ref="K9" authorId="0">
      <text>
        <r>
          <rPr>
            <sz val="10"/>
            <rFont val="Arial"/>
            <family val="2"/>
          </rPr>
          <t xml:space="preserve">Ястай — yield 60%, түүхий хэрэгцээ их</t>
        </r>
      </text>
    </comment>
    <comment ref="L16" authorId="0">
      <text>
        <r>
          <rPr>
            <sz val="10"/>
            <rFont val="Arial"/>
            <family val="2"/>
          </rPr>
          <t xml:space="preserve">4 ш/порц × 75 г түүхий, +порц буфер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NOMAAD</author>
  </authors>
  <commentList>
    <comment ref="G7" authorId="0">
      <text>
        <r>
          <rPr>
            <sz val="10"/>
            <rFont val="Arial"/>
            <family val="2"/>
          </rPr>
          <t xml:space="preserve">хүн × коэф × 65г ÷1000 × (1+20%)</t>
        </r>
      </text>
    </comment>
    <comment ref="G8" authorId="0">
      <text>
        <r>
          <rPr>
            <sz val="10"/>
            <rFont val="Arial"/>
            <family val="2"/>
          </rPr>
          <t xml:space="preserve">хүн × коэф × 60г ÷1000 × (1+15%)</t>
        </r>
      </text>
    </comment>
    <comment ref="G9" authorId="0">
      <text>
        <r>
          <rPr>
            <sz val="10"/>
            <rFont val="Arial"/>
            <family val="2"/>
          </rPr>
          <t xml:space="preserve">хүн × коэф × 250мл ÷1000 × (1+10%)</t>
        </r>
      </text>
    </comment>
    <comment ref="G10" authorId="0">
      <text>
        <r>
          <rPr>
            <sz val="10"/>
            <rFont val="Arial"/>
            <family val="2"/>
          </rPr>
          <t xml:space="preserve">хүн × коэф × 150г ÷1000 × (1+8%)</t>
        </r>
      </text>
    </comment>
  </commentList>
</comments>
</file>

<file path=xl/sharedStrings.xml><?xml version="1.0" encoding="utf-8"?>
<sst xmlns="http://schemas.openxmlformats.org/spreadsheetml/2006/main" count="237" uniqueCount="178">
  <si>
    <t xml:space="preserve">NOMAAD Catering · Хоолны порц/норм стандарт v1.0</t>
  </si>
  <si>
    <t xml:space="preserve">Sheet 1 — Үндсэн мах: нэг хүний норм + түүхий хэрэгцээ (mах тус бүрийн yield-ээр)   ·   © 2026 Чимун ХХК · NOMAAD family</t>
  </si>
  <si>
    <t xml:space="preserve">Буфет буфер</t>
  </si>
  <si>
    <t xml:space="preserve">Порц буфер</t>
  </si>
  <si>
    <t xml:space="preserve">Хүний тоо:</t>
  </si>
  <si>
    <t xml:space="preserve">Идэх коэф.:</t>
  </si>
  <si>
    <t xml:space="preserve">← Sheet 4-ээс сонгоно (1.00–1.65). Жишээ: 1.45 = Гадаа+пиво</t>
  </si>
  <si>
    <t xml:space="preserve">Уут (кг)</t>
  </si>
  <si>
    <t xml:space="preserve">№</t>
  </si>
  <si>
    <t xml:space="preserve">Хоол</t>
  </si>
  <si>
    <t xml:space="preserve">Уураг</t>
  </si>
  <si>
    <t xml:space="preserve">Cook yield %</t>
  </si>
  <si>
    <t xml:space="preserve">Суурь норм (г/хүн ×1.0)</t>
  </si>
  <si>
    <t xml:space="preserve">Порц норм (г/хүн)</t>
  </si>
  <si>
    <t xml:space="preserve">Соус (г)</t>
  </si>
  <si>
    <t xml:space="preserve">Хачир (г)</t>
  </si>
  <si>
    <t xml:space="preserve">Түүхий буфет (кг)</t>
  </si>
  <si>
    <t xml:space="preserve">Түүхий порц (кг)</t>
  </si>
  <si>
    <t xml:space="preserve">Уут</t>
  </si>
  <si>
    <t xml:space="preserve">Соусанд жигнэсэн хонины мах</t>
  </si>
  <si>
    <t xml:space="preserve">Хонь</t>
  </si>
  <si>
    <t xml:space="preserve">Хорхог</t>
  </si>
  <si>
    <t xml:space="preserve">—</t>
  </si>
  <si>
    <t xml:space="preserve">төмс,ногоо</t>
  </si>
  <si>
    <t xml:space="preserve">тогоо</t>
  </si>
  <si>
    <t xml:space="preserve">Хонь шарсан хавирга</t>
  </si>
  <si>
    <t xml:space="preserve">Хонь-ястай</t>
  </si>
  <si>
    <t xml:space="preserve">~ястай</t>
  </si>
  <si>
    <t xml:space="preserve">Гахайн цорой</t>
  </si>
  <si>
    <t xml:space="preserve">Гахай-цорой</t>
  </si>
  <si>
    <t xml:space="preserve">Гахайн амталсан мах (Жеюүг)</t>
  </si>
  <si>
    <t xml:space="preserve">Гахай</t>
  </si>
  <si>
    <t xml:space="preserve">Терияки соустай тахиа ★</t>
  </si>
  <si>
    <t xml:space="preserve">Тахиа</t>
  </si>
  <si>
    <t xml:space="preserve">Шаржигнуур тахиа</t>
  </si>
  <si>
    <t xml:space="preserve">Мини шорлог (гахай, тахиа)</t>
  </si>
  <si>
    <t xml:space="preserve">Холимог</t>
  </si>
  <si>
    <t xml:space="preserve">Цуйван</t>
  </si>
  <si>
    <t xml:space="preserve">багтсан</t>
  </si>
  <si>
    <t xml:space="preserve">Хуушуур</t>
  </si>
  <si>
    <t xml:space="preserve">Загвар: Түүхий хэрэгцээ = Хүн × Идэх коэф. × Суурь норм ÷ Cook yield × (1+буфер). Түүхий хөлдөөдөг бол ÷DRIP. Суурь норм нь нэг хүнд ноогдох суурь хэмжээ (×1.0). Финиш гарц ≈ Түүхий × yield. Соус/хачир = нэг порцод. Уут = 30×40см / 2 кг.</t>
  </si>
  <si>
    <t xml:space="preserve">✓ Шалгалт: 100 хүн × Идэх коэф.1.45 (гадаа+пиво), Терияки тахиа → түүхий ≈ 23.9 кг (зорилт 22–25 кг). Хуучин логик 16.9 кг байсан — ~6 кг = 30 хүний хоол дутаж байсан.</t>
  </si>
  <si>
    <t xml:space="preserve">Sheet 2 — Дагалдах хоол: буфет норм   ·   © 2026 Чимун ХХК · NOMAAD family</t>
  </si>
  <si>
    <t xml:space="preserve">Коэф.:</t>
  </si>
  <si>
    <t xml:space="preserve">Нэг хүний норм</t>
  </si>
  <si>
    <t xml:space="preserve">Нэгж</t>
  </si>
  <si>
    <t xml:space="preserve">Буфер %</t>
  </si>
  <si>
    <t xml:space="preserve">Олдол</t>
  </si>
  <si>
    <t xml:space="preserve">Нийт хэрэгцээ</t>
  </si>
  <si>
    <t xml:space="preserve">Хачир (нэг төрөл)</t>
  </si>
  <si>
    <t xml:space="preserve">65 г</t>
  </si>
  <si>
    <t xml:space="preserve">г</t>
  </si>
  <si>
    <t xml:space="preserve">×3 буфетэд</t>
  </si>
  <si>
    <t xml:space="preserve">Салад (нэг төрөл)</t>
  </si>
  <si>
    <t xml:space="preserve">60 г</t>
  </si>
  <si>
    <t xml:space="preserve">×2 буфетэд</t>
  </si>
  <si>
    <t xml:space="preserve">Шөл</t>
  </si>
  <si>
    <t xml:space="preserve">250 мл</t>
  </si>
  <si>
    <t xml:space="preserve">мл</t>
  </si>
  <si>
    <t xml:space="preserve">1 төрөл</t>
  </si>
  <si>
    <t xml:space="preserve">Будаа (порцын гол хачир)</t>
  </si>
  <si>
    <t xml:space="preserve">150 г</t>
  </si>
  <si>
    <t xml:space="preserve">порцоор</t>
  </si>
  <si>
    <t xml:space="preserve">Буфет дээр хачир 3 төрөл, салад 2 төрөл санал болгоно. Шөл нэг төрөл. Будаа порцын үндсэн хачир.</t>
  </si>
  <si>
    <t xml:space="preserve">Sheet 3 — Cook Yield (чанахад үлдэх жингийн хувь) — махны төрлөөр   ·   © 2026 Чимун ХХК · NOMAAD family</t>
  </si>
  <si>
    <t xml:space="preserve">Мах төрөл</t>
  </si>
  <si>
    <t xml:space="preserve">Эх сурвалж / тэмдэглэл</t>
  </si>
  <si>
    <t xml:space="preserve">Тахианы цээж</t>
  </si>
  <si>
    <t xml:space="preserve">USDA + industry — зөөлөн шарах</t>
  </si>
  <si>
    <t xml:space="preserve">Тахианы гуя</t>
  </si>
  <si>
    <t xml:space="preserve">USDA — арьстай, өөхтэй хэсэг</t>
  </si>
  <si>
    <t xml:space="preserve">Хонь — зөөлөн жигнэх</t>
  </si>
  <si>
    <t xml:space="preserve">Industry — удаан жигнэх соустай</t>
  </si>
  <si>
    <t xml:space="preserve">Хонь — ястай (хавирга)</t>
  </si>
  <si>
    <t xml:space="preserve">Ясны жин + чийг алдалт их</t>
  </si>
  <si>
    <t xml:space="preserve">Гахай — цорой</t>
  </si>
  <si>
    <t xml:space="preserve">Цэвэр булчин, өөх бага</t>
  </si>
  <si>
    <t xml:space="preserve">Гахай — энгийн/амталсан</t>
  </si>
  <si>
    <t xml:space="preserve">Industry дундаж</t>
  </si>
  <si>
    <t xml:space="preserve">Гахай — ястай</t>
  </si>
  <si>
    <t xml:space="preserve">Ястай хэсэг</t>
  </si>
  <si>
    <t xml:space="preserve">Холимог (шорлог, цуйван, хуушуур)</t>
  </si>
  <si>
    <t xml:space="preserve">Хольсон махны жигнэсэн дундаж</t>
  </si>
  <si>
    <t xml:space="preserve">⚠️ Эдгээр yield нь USDA + industry rule of thumb. Хавтгай 0.85-ийг орлоно — ястай махны түүхий хэрэгцээг ~30% дутуу тооцдог байсан алдааг засна. Бодит хэмжилтээр v1.1-д тохируулна.</t>
  </si>
  <si>
    <t xml:space="preserve">Sheet 4 — Идэх хандлагын коэффициент (арга хэмжээний төрлөөр)   ·   © 2026 Чимун ХХК · NOMAAD family</t>
  </si>
  <si>
    <t xml:space="preserve">Арга хэмжээ</t>
  </si>
  <si>
    <t xml:space="preserve">Коэф.</t>
  </si>
  <si>
    <t xml:space="preserve">Дундаж финиш зорилт (г/хүн)</t>
  </si>
  <si>
    <t xml:space="preserve">Тайлбар</t>
  </si>
  <si>
    <t xml:space="preserve">Албан хурал (дотор)</t>
  </si>
  <si>
    <t xml:space="preserve">130 г</t>
  </si>
  <si>
    <t xml:space="preserve">Хөнгөн хоол, суусан үйлчилгээ</t>
  </si>
  <si>
    <t xml:space="preserve">Team-building (дотор)</t>
  </si>
  <si>
    <t xml:space="preserve">Идэвхтэй, илүү хэрэглээ</t>
  </si>
  <si>
    <t xml:space="preserve">Гадаа + энгийн</t>
  </si>
  <si>
    <t xml:space="preserve">175 г</t>
  </si>
  <si>
    <t xml:space="preserve">Гадаа агаар — хоолны дур ихсэнэ</t>
  </si>
  <si>
    <t xml:space="preserve">Гадаа + пиво</t>
  </si>
  <si>
    <t xml:space="preserve">200 г</t>
  </si>
  <si>
    <t xml:space="preserve">Архи/пиво идэх хэрэгцээг +15–25% нэмнэ</t>
  </si>
  <si>
    <t xml:space="preserve">Том найр / Хурим</t>
  </si>
  <si>
    <t xml:space="preserve">220 г</t>
  </si>
  <si>
    <t xml:space="preserve">Олон төрөл, урт үргэлжлэл</t>
  </si>
  <si>
    <t xml:space="preserve">BBQ үдэш</t>
  </si>
  <si>
    <t xml:space="preserve">250 г</t>
  </si>
  <si>
    <t xml:space="preserve">Шарсан мах төвтэй, хамгийн их хэрэглээ</t>
  </si>
  <si>
    <t xml:space="preserve">Коэффициентийг Sheet 1, 2-ын 'Идэх коэф.' нүдэнд оруулна. Хуучин логик дээд тал нь ×1.30 байсан — гадаа+пиво, BBQ дээр тогтмол хоол дутааж байсан гол шалтгаан.</t>
  </si>
  <si>
    <t xml:space="preserve">Sheet 5 — Эрүүл ахуйн стандарт (HACCP — критик хяналтын цэг)   ·   © 2026 Чимун ХХК · NOMAAD family</t>
  </si>
  <si>
    <t xml:space="preserve">Алхам</t>
  </si>
  <si>
    <t xml:space="preserve">Параметр</t>
  </si>
  <si>
    <t xml:space="preserve">CCP мөн үү</t>
  </si>
  <si>
    <t xml:space="preserve">Хяналтын тэмдэглэл</t>
  </si>
  <si>
    <t xml:space="preserve">Хүлээн авах</t>
  </si>
  <si>
    <t xml:space="preserve">≤4°C</t>
  </si>
  <si>
    <t xml:space="preserve">Тийм</t>
  </si>
  <si>
    <t xml:space="preserve">Түүхий эдийн темп., үнэр, өнгө шалгах</t>
  </si>
  <si>
    <t xml:space="preserve">Дотоод температур (болгох)</t>
  </si>
  <si>
    <t xml:space="preserve">≥75°C</t>
  </si>
  <si>
    <t xml:space="preserve">Махны төв хэсгийн темп. термометрээр</t>
  </si>
  <si>
    <t xml:space="preserve">Blast chill</t>
  </si>
  <si>
    <t xml:space="preserve">75→4°C ≤90 мин</t>
  </si>
  <si>
    <t xml:space="preserve">Бактерийн аюултай бүсийг хурдан давах</t>
  </si>
  <si>
    <t xml:space="preserve">Хадгалалт</t>
  </si>
  <si>
    <t xml:space="preserve">−18°C / 30 хоног / FIFO</t>
  </si>
  <si>
    <t xml:space="preserve">Эхэлж орсон эхэлж гарна, шошготой</t>
  </si>
  <si>
    <t xml:space="preserve">Гэсгээх</t>
  </si>
  <si>
    <t xml:space="preserve">0–4°C / 18–24 ц</t>
  </si>
  <si>
    <t xml:space="preserve">Хөргөгчинд аажмаар</t>
  </si>
  <si>
    <t xml:space="preserve">Re-heat (дахин халаах)</t>
  </si>
  <si>
    <t xml:space="preserve">Дотоод темп. хүртэл бүрэн халаах</t>
  </si>
  <si>
    <t xml:space="preserve">Hot hold (үйлчилгээ)</t>
  </si>
  <si>
    <t xml:space="preserve">65–70°C / ≤2 ц</t>
  </si>
  <si>
    <t xml:space="preserve">Халуун барих, 2 цагаас хэтрүүлэхгүй</t>
  </si>
  <si>
    <t xml:space="preserve">🔴 Улаан = эрүүл ахуйн критик цэг (CCP) — заавал бүртгэх, хазайвал залруулах арга хэмжээ авах. Температурууд олон улсын баталгаатай.</t>
  </si>
  <si>
    <t xml:space="preserve">Sheet 6 — Уут, сав баглаа боодлын стандарт   ·   © 2026 Чимун ХХК · NOMAAD family</t>
  </si>
  <si>
    <t xml:space="preserve">Уутны төрөл</t>
  </si>
  <si>
    <t xml:space="preserve">Хэмжээ</t>
  </si>
  <si>
    <t xml:space="preserve">Багтаамж</t>
  </si>
  <si>
    <t xml:space="preserve">Хэрэглээ</t>
  </si>
  <si>
    <t xml:space="preserve">Стандарт вакум уут</t>
  </si>
  <si>
    <t xml:space="preserve">30×40 см</t>
  </si>
  <si>
    <t xml:space="preserve">2 кг</t>
  </si>
  <si>
    <t xml:space="preserve">Үндсэн махны блок — бүх хөлдөөдөг мах</t>
  </si>
  <si>
    <t xml:space="preserve">Соустай вакум уут</t>
  </si>
  <si>
    <t xml:space="preserve">10 порц</t>
  </si>
  <si>
    <t xml:space="preserve">Соустай хоол: хонь, Жеюүг, терияки тахиа</t>
  </si>
  <si>
    <t xml:space="preserve">Маринадтай вакум</t>
  </si>
  <si>
    <t xml:space="preserve">2 кг + 300 мл</t>
  </si>
  <si>
    <t xml:space="preserve">Терияки/шаржигнуур тахиа (freeze-marinade)</t>
  </si>
  <si>
    <t xml:space="preserve">Хуушуурны уут</t>
  </si>
  <si>
    <t xml:space="preserve">≈26 ш (2 кг)</t>
  </si>
  <si>
    <t xml:space="preserve">Түүхий хуушуур — ганц давхар хөлдөөгөөд уутлах</t>
  </si>
  <si>
    <t xml:space="preserve">Давхар хамгаалалтын уут</t>
  </si>
  <si>
    <t xml:space="preserve">Хөлдөөлтийн агаар нэвтрэлтээс хамгаалах, шошготой</t>
  </si>
  <si>
    <t xml:space="preserve">Бүх вакум 95% агаар соролттой. Уут бүр дээр: хоолны нэр · бэлтгэсэн огноо · дуусах огноо (−18°C / 30 хоног) · жин шошго наана.</t>
  </si>
  <si>
    <t xml:space="preserve">Sheet 7 — ⚠️ Стандартын статус ба найдвартай байдал   ·   © 2026 Чимун ХХК · NOMAAD family</t>
  </si>
  <si>
    <t xml:space="preserve">Хэсэг</t>
  </si>
  <si>
    <t xml:space="preserve">Статус</t>
  </si>
  <si>
    <t xml:space="preserve">HACCP температур (≤4°C, ≥75°C, blast chill)</t>
  </si>
  <si>
    <t xml:space="preserve">✅ Баталгаатай</t>
  </si>
  <si>
    <t xml:space="preserve">Олон улсын хүнсний аюулгүй байдлын стандарт</t>
  </si>
  <si>
    <t xml:space="preserve">Cook yield тоонууд</t>
  </si>
  <si>
    <t xml:space="preserve">✅ Industry</t>
  </si>
  <si>
    <t xml:space="preserve">USDA + industry rule of thumb, дотоод туршлагаар тохируулсан</t>
  </si>
  <si>
    <t xml:space="preserve">Идэх хандлагын коэффициент</t>
  </si>
  <si>
    <t xml:space="preserve">⚠️ Батлагдаагүй</t>
  </si>
  <si>
    <t xml:space="preserve">Industry rule of thumb — Монголд тохируулсан санал</t>
  </si>
  <si>
    <t xml:space="preserve">Финиш жингийн зорилт (130–250 г)</t>
  </si>
  <si>
    <t xml:space="preserve">⚠️ Дунд зэрэг</t>
  </si>
  <si>
    <t xml:space="preserve">Catering norm — Монголын зочдын статистик байхгүй</t>
  </si>
  <si>
    <t xml:space="preserve">Суурь норм (bufG засвар)</t>
  </si>
  <si>
    <t xml:space="preserve">⚠️ Эхлэх тоо</t>
  </si>
  <si>
    <t xml:space="preserve">v1.0 — бодит өгөгдлөөр баталгаажуулах шаардлагатай</t>
  </si>
  <si>
    <t xml:space="preserve">v1.1 шинэчлэх төлөвлөгөө</t>
  </si>
  <si>
    <t xml:space="preserve">• 100+ арга хэмжээний бодит өгөгдөл цуглуулах (Event Log + Telegram bot)</t>
  </si>
  <si>
    <t xml:space="preserve">• Бодит финиш г/хүн, үлдэгдэл, 'хоол дутсан' хувийг арга хэмжээний төрлөөр харьцуулах</t>
  </si>
  <si>
    <t xml:space="preserve">• Идэх коэффициент болон суурь нормыг бодит хэрэглээгээр тохируулах</t>
  </si>
  <si>
    <t xml:space="preserve">• 6 сарын дотор v1.1 — батлагдсан, Монголд тааруулсан стандарт гаргах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</si>
</sst>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%"/>
    <numFmt numFmtId="167" formatCode="0.0"/>
    <numFmt numFmtId="168" formatCode="0"/>
    <numFmt numFmtId="169" formatCode="0.0&quot; кг&quot;"/>
    <numFmt numFmtId="170" formatCode="\×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1"/>
      <color rgb="FF1F4A38"/>
      <name val="Arial"/>
      <family val="0"/>
      <charset val="1"/>
    </font>
    <font>
      <sz val="9.5"/>
      <color rgb="FF8A827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A38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8A82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0271F"/>
      <name val="Arial"/>
      <family val="0"/>
      <charset val="1"/>
    </font>
    <font>
      <b val="true"/>
      <sz val="9.5"/>
      <color rgb="FF1F4A38"/>
      <name val="Arial"/>
      <family val="0"/>
      <charset val="1"/>
    </font>
    <font>
      <sz val="10"/>
      <name val="Arial"/>
      <family val="2"/>
    </font>
    <font>
      <b val="true"/>
      <sz val="10"/>
      <color rgb="FFC8743F"/>
      <name val="Arial"/>
      <family val="0"/>
      <charset val="1"/>
    </font>
    <font>
      <b val="true"/>
      <sz val="10"/>
      <color rgb="FFBB4A36"/>
      <name val="Arial"/>
      <family val="0"/>
      <charset val="1"/>
    </font>
    <font>
      <b val="true"/>
      <sz val="10"/>
      <color rgb="FF20271F"/>
      <name val="Arial"/>
      <family val="0"/>
      <charset val="1"/>
    </font>
    <font>
      <i val="true"/>
      <sz val="9"/>
      <color rgb="FFBB4A36"/>
      <name val="Arial"/>
      <family val="0"/>
      <charset val="1"/>
    </font>
    <font>
      <b val="true"/>
      <sz val="10"/>
      <color rgb="FF27543F"/>
      <name val="Arial"/>
      <family val="0"/>
      <charset val="1"/>
    </font>
    <font>
      <b val="true"/>
      <sz val="10"/>
      <color rgb="FF9A6A12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A38"/>
        <bgColor rgb="FF27543F"/>
      </patternFill>
    </fill>
    <fill>
      <patternFill patternType="solid">
        <fgColor rgb="FFD9C7A3"/>
        <bgColor rgb="FFD8DCD3"/>
      </patternFill>
    </fill>
    <fill>
      <patternFill patternType="solid">
        <fgColor rgb="FFFFF6D6"/>
        <bgColor rgb="FFFBEED6"/>
      </patternFill>
    </fill>
    <fill>
      <patternFill patternType="solid">
        <fgColor rgb="FFFFFFFF"/>
        <bgColor rgb="FFF5F0E6"/>
      </patternFill>
    </fill>
    <fill>
      <patternFill patternType="solid">
        <fgColor rgb="FFF5F0E6"/>
        <bgColor rgb="FFFBEED6"/>
      </patternFill>
    </fill>
    <fill>
      <patternFill patternType="solid">
        <fgColor rgb="FFF8E2DD"/>
        <bgColor rgb="FFFBEED6"/>
      </patternFill>
    </fill>
    <fill>
      <patternFill patternType="solid">
        <fgColor rgb="FFE3EDE7"/>
        <bgColor rgb="FFF5F0E6"/>
      </patternFill>
    </fill>
    <fill>
      <patternFill patternType="solid">
        <fgColor rgb="FFFBEED6"/>
        <bgColor rgb="FFF5F0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CD3"/>
      </left>
      <right style="thin">
        <color rgb="FFD8DCD3"/>
      </right>
      <top style="thin">
        <color rgb="FFD8DCD3"/>
      </top>
      <bottom style="thin">
        <color rgb="FFD8DC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A12"/>
      <rgbColor rgb="FF800080"/>
      <rgbColor rgb="FF008080"/>
      <rgbColor rgb="FFD9C7A3"/>
      <rgbColor rgb="FF8A8276"/>
      <rgbColor rgb="FF9999FF"/>
      <rgbColor rgb="FFBB4A36"/>
      <rgbColor rgb="FFFFF6D6"/>
      <rgbColor rgb="FFE3EDE7"/>
      <rgbColor rgb="FF660066"/>
      <rgbColor rgb="FFC8743F"/>
      <rgbColor rgb="FF0066CC"/>
      <rgbColor rgb="FFD8DC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0E6"/>
      <rgbColor rgb="FFCCFFCC"/>
      <rgbColor rgb="FFFBEED6"/>
      <rgbColor rgb="FF99CCFF"/>
      <rgbColor rgb="FFFF99CC"/>
      <rgbColor rgb="FFCC99FF"/>
      <rgbColor rgb="FFF8E2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7543F"/>
      <rgbColor rgb="FF339966"/>
      <rgbColor rgb="FF003300"/>
      <rgbColor rgb="FF1F4A38"/>
      <rgbColor rgb="FF993300"/>
      <rgbColor rgb="FF993366"/>
      <rgbColor rgb="FF333399"/>
      <rgbColor rgb="FF2027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A38"/>
    <pageSetUpPr fitToPage="false"/>
  </sheetPr>
  <dimension ref="A1:P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4" min="3" style="0" width="12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8" min="7" style="0" width="9"/>
    <col collapsed="false" customWidth="true" hidden="false" outlineLevel="0" max="10" min="9" style="0" width="11"/>
    <col collapsed="false" customWidth="true" hidden="false" outlineLevel="0" max="12" min="11" style="0" width="12"/>
    <col collapsed="false" customWidth="true" hidden="false" outlineLevel="0" max="13" min="13" style="0" width="8"/>
    <col collapsed="false" customWidth="true" hidden="false" outlineLevel="0" max="15" min="15" style="0" width="18"/>
    <col collapsed="false" customWidth="true" hidden="false" outlineLevel="0" max="16" min="16" style="0" width="7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O2" s="3" t="s">
        <v>2</v>
      </c>
      <c r="P2" s="4" t="n">
        <v>0.2</v>
      </c>
    </row>
    <row r="3" customFormat="false" ht="15" hidden="false" customHeight="false" outlineLevel="0" collapsed="false">
      <c r="O3" s="3" t="s">
        <v>3</v>
      </c>
      <c r="P3" s="4" t="n">
        <v>0.08</v>
      </c>
    </row>
    <row r="4" customFormat="false" ht="15" hidden="false" customHeight="false" outlineLevel="0" collapsed="false">
      <c r="B4" s="5" t="s">
        <v>4</v>
      </c>
      <c r="C4" s="6" t="n">
        <v>100</v>
      </c>
      <c r="D4" s="5" t="s">
        <v>5</v>
      </c>
      <c r="E4" s="7" t="n">
        <v>1.45</v>
      </c>
      <c r="F4" s="8" t="s">
        <v>6</v>
      </c>
      <c r="O4" s="3" t="s">
        <v>7</v>
      </c>
      <c r="P4" s="4" t="n">
        <v>2</v>
      </c>
    </row>
    <row r="6" customFormat="false" ht="37.5" hidden="false" customHeight="true" outlineLevel="0" collapsed="false">
      <c r="A6" s="9" t="s">
        <v>8</v>
      </c>
      <c r="B6" s="9" t="s">
        <v>9</v>
      </c>
      <c r="C6" s="9" t="s">
        <v>10</v>
      </c>
      <c r="D6" s="9" t="s">
        <v>11</v>
      </c>
      <c r="E6" s="9" t="s">
        <v>12</v>
      </c>
      <c r="F6" s="9" t="s">
        <v>13</v>
      </c>
      <c r="G6" s="9" t="s">
        <v>14</v>
      </c>
      <c r="H6" s="9" t="s">
        <v>15</v>
      </c>
      <c r="I6" s="9" t="s">
        <v>2</v>
      </c>
      <c r="J6" s="9" t="s">
        <v>3</v>
      </c>
      <c r="K6" s="9" t="s">
        <v>16</v>
      </c>
      <c r="L6" s="9" t="s">
        <v>17</v>
      </c>
      <c r="M6" s="9" t="s">
        <v>18</v>
      </c>
    </row>
    <row r="7" customFormat="false" ht="15" hidden="false" customHeight="false" outlineLevel="0" collapsed="false">
      <c r="A7" s="10" t="n">
        <v>1</v>
      </c>
      <c r="B7" s="11" t="s">
        <v>19</v>
      </c>
      <c r="C7" s="10" t="s">
        <v>20</v>
      </c>
      <c r="D7" s="12" t="n">
        <v>0.7</v>
      </c>
      <c r="E7" s="10" t="n">
        <v>130</v>
      </c>
      <c r="F7" s="10" t="n">
        <v>190</v>
      </c>
      <c r="G7" s="10" t="n">
        <v>50</v>
      </c>
      <c r="H7" s="10" t="n">
        <v>150</v>
      </c>
      <c r="I7" s="12" t="n">
        <v>0.2</v>
      </c>
      <c r="J7" s="12" t="n">
        <v>0.08</v>
      </c>
      <c r="K7" s="13" t="n">
        <f aca="false">$C$4*$E$4*E7/1000/D7*(1+$P$2)</f>
        <v>32.3142857142857</v>
      </c>
      <c r="L7" s="13" t="n">
        <f aca="false">$C$4*$E$4*F7/1000/D7*(1+$P$3)</f>
        <v>42.5057142857143</v>
      </c>
      <c r="M7" s="14" t="n">
        <f aca="false">ROUNDUP(K7/$P$4,0)</f>
        <v>17</v>
      </c>
    </row>
    <row r="8" customFormat="false" ht="23.85" hidden="false" customHeight="false" outlineLevel="0" collapsed="false">
      <c r="A8" s="15" t="n">
        <v>2</v>
      </c>
      <c r="B8" s="16" t="s">
        <v>21</v>
      </c>
      <c r="C8" s="15" t="s">
        <v>20</v>
      </c>
      <c r="D8" s="17" t="n">
        <v>0.6</v>
      </c>
      <c r="E8" s="15" t="s">
        <v>22</v>
      </c>
      <c r="F8" s="15" t="s">
        <v>22</v>
      </c>
      <c r="G8" s="15" t="s">
        <v>22</v>
      </c>
      <c r="H8" s="15" t="s">
        <v>23</v>
      </c>
      <c r="I8" s="15" t="s">
        <v>22</v>
      </c>
      <c r="J8" s="15" t="s">
        <v>22</v>
      </c>
      <c r="K8" s="18" t="n">
        <f aca="false">ROUNDUP($C$4/8.5,0)+1</f>
        <v>13</v>
      </c>
      <c r="L8" s="19" t="n">
        <f aca="false">K8*4.5</f>
        <v>58.5</v>
      </c>
      <c r="M8" s="15" t="s">
        <v>24</v>
      </c>
    </row>
    <row r="9" customFormat="false" ht="15" hidden="false" customHeight="false" outlineLevel="0" collapsed="false">
      <c r="A9" s="10" t="n">
        <v>3</v>
      </c>
      <c r="B9" s="11" t="s">
        <v>25</v>
      </c>
      <c r="C9" s="10" t="s">
        <v>26</v>
      </c>
      <c r="D9" s="12" t="n">
        <v>0.6</v>
      </c>
      <c r="E9" s="10" t="n">
        <v>180</v>
      </c>
      <c r="F9" s="10" t="s">
        <v>22</v>
      </c>
      <c r="G9" s="10" t="s">
        <v>22</v>
      </c>
      <c r="H9" s="10" t="s">
        <v>27</v>
      </c>
      <c r="I9" s="12" t="n">
        <v>0.2</v>
      </c>
      <c r="J9" s="10" t="s">
        <v>22</v>
      </c>
      <c r="K9" s="13" t="n">
        <f aca="false">$C$4*$E$4*E9/1000/D9*(1+$P$2)</f>
        <v>52.2</v>
      </c>
      <c r="L9" s="10" t="s">
        <v>22</v>
      </c>
      <c r="M9" s="14" t="n">
        <f aca="false">ROUNDUP(K9/$P$4,0)</f>
        <v>27</v>
      </c>
    </row>
    <row r="10" customFormat="false" ht="15" hidden="false" customHeight="false" outlineLevel="0" collapsed="false">
      <c r="A10" s="15" t="n">
        <v>4</v>
      </c>
      <c r="B10" s="16" t="s">
        <v>28</v>
      </c>
      <c r="C10" s="15" t="s">
        <v>29</v>
      </c>
      <c r="D10" s="17" t="n">
        <v>0.78</v>
      </c>
      <c r="E10" s="15" t="n">
        <v>120</v>
      </c>
      <c r="F10" s="15" t="n">
        <v>190</v>
      </c>
      <c r="G10" s="15" t="s">
        <v>22</v>
      </c>
      <c r="H10" s="15" t="n">
        <v>150</v>
      </c>
      <c r="I10" s="17" t="n">
        <v>0.2</v>
      </c>
      <c r="J10" s="17" t="n">
        <v>0.08</v>
      </c>
      <c r="K10" s="20" t="n">
        <f aca="false">$C$4*$E$4*E10/1000/D10*(1+$P$2)</f>
        <v>26.7692307692308</v>
      </c>
      <c r="L10" s="20" t="n">
        <f aca="false">$C$4*$E$4*F10/1000/D10*(1+$P$3)</f>
        <v>38.1461538461538</v>
      </c>
      <c r="M10" s="18" t="n">
        <f aca="false">ROUNDUP(K10/$P$4,0)</f>
        <v>14</v>
      </c>
    </row>
    <row r="11" customFormat="false" ht="15" hidden="false" customHeight="false" outlineLevel="0" collapsed="false">
      <c r="A11" s="10" t="n">
        <v>5</v>
      </c>
      <c r="B11" s="11" t="s">
        <v>30</v>
      </c>
      <c r="C11" s="10" t="s">
        <v>31</v>
      </c>
      <c r="D11" s="12" t="n">
        <v>0.74</v>
      </c>
      <c r="E11" s="10" t="n">
        <v>120</v>
      </c>
      <c r="F11" s="10" t="n">
        <v>190</v>
      </c>
      <c r="G11" s="10" t="n">
        <v>50</v>
      </c>
      <c r="H11" s="10" t="n">
        <v>150</v>
      </c>
      <c r="I11" s="12" t="n">
        <v>0.2</v>
      </c>
      <c r="J11" s="12" t="n">
        <v>0.08</v>
      </c>
      <c r="K11" s="13" t="n">
        <f aca="false">$C$4*$E$4*E11/1000/D11*(1+$P$2)</f>
        <v>28.2162162162162</v>
      </c>
      <c r="L11" s="13" t="n">
        <f aca="false">$C$4*$E$4*F11/1000/D11*(1+$P$3)</f>
        <v>40.2081081081081</v>
      </c>
      <c r="M11" s="14" t="n">
        <f aca="false">ROUNDUP(K11/$P$4,0)</f>
        <v>15</v>
      </c>
    </row>
    <row r="12" customFormat="false" ht="15" hidden="false" customHeight="false" outlineLevel="0" collapsed="false">
      <c r="A12" s="15" t="n">
        <v>6</v>
      </c>
      <c r="B12" s="16" t="s">
        <v>32</v>
      </c>
      <c r="C12" s="15" t="s">
        <v>33</v>
      </c>
      <c r="D12" s="17" t="n">
        <v>0.8</v>
      </c>
      <c r="E12" s="15" t="n">
        <v>110</v>
      </c>
      <c r="F12" s="15" t="n">
        <v>190</v>
      </c>
      <c r="G12" s="15" t="n">
        <v>50</v>
      </c>
      <c r="H12" s="15" t="n">
        <v>150</v>
      </c>
      <c r="I12" s="17" t="n">
        <v>0.2</v>
      </c>
      <c r="J12" s="17" t="n">
        <v>0.08</v>
      </c>
      <c r="K12" s="20" t="n">
        <f aca="false">$C$4*$E$4*E12/1000/D12*(1+$P$2)</f>
        <v>23.925</v>
      </c>
      <c r="L12" s="20" t="n">
        <f aca="false">$C$4*$E$4*F12/1000/D12*(1+$P$3)</f>
        <v>37.1925</v>
      </c>
      <c r="M12" s="18" t="n">
        <f aca="false">ROUNDUP(K12/$P$4,0)</f>
        <v>12</v>
      </c>
    </row>
    <row r="13" customFormat="false" ht="15" hidden="false" customHeight="false" outlineLevel="0" collapsed="false">
      <c r="A13" s="10" t="n">
        <v>7</v>
      </c>
      <c r="B13" s="11" t="s">
        <v>34</v>
      </c>
      <c r="C13" s="10" t="s">
        <v>33</v>
      </c>
      <c r="D13" s="12" t="n">
        <v>0.8</v>
      </c>
      <c r="E13" s="10" t="n">
        <v>120</v>
      </c>
      <c r="F13" s="10" t="n">
        <v>190</v>
      </c>
      <c r="G13" s="10" t="s">
        <v>22</v>
      </c>
      <c r="H13" s="10" t="n">
        <v>150</v>
      </c>
      <c r="I13" s="12" t="n">
        <v>0.2</v>
      </c>
      <c r="J13" s="12" t="n">
        <v>0.08</v>
      </c>
      <c r="K13" s="13" t="n">
        <f aca="false">$C$4*$E$4*E13/1000/D13*(1+$P$2)</f>
        <v>26.1</v>
      </c>
      <c r="L13" s="13" t="n">
        <f aca="false">$C$4*$E$4*F13/1000/D13*(1+$P$3)</f>
        <v>37.1925</v>
      </c>
      <c r="M13" s="14" t="n">
        <f aca="false">ROUNDUP(K13/$P$4,0)</f>
        <v>14</v>
      </c>
    </row>
    <row r="14" customFormat="false" ht="15" hidden="false" customHeight="false" outlineLevel="0" collapsed="false">
      <c r="A14" s="15" t="n">
        <v>8</v>
      </c>
      <c r="B14" s="16" t="s">
        <v>35</v>
      </c>
      <c r="C14" s="15" t="s">
        <v>36</v>
      </c>
      <c r="D14" s="17" t="n">
        <v>0.76</v>
      </c>
      <c r="E14" s="15" t="n">
        <v>130</v>
      </c>
      <c r="F14" s="15" t="n">
        <v>180</v>
      </c>
      <c r="G14" s="15" t="s">
        <v>22</v>
      </c>
      <c r="H14" s="15" t="n">
        <v>150</v>
      </c>
      <c r="I14" s="17" t="n">
        <v>0.2</v>
      </c>
      <c r="J14" s="17" t="n">
        <v>0.08</v>
      </c>
      <c r="K14" s="20" t="n">
        <f aca="false">$C$4*$E$4*E14/1000/D14*(1+$P$2)</f>
        <v>29.7631578947368</v>
      </c>
      <c r="L14" s="20" t="n">
        <f aca="false">$C$4*$E$4*F14/1000/D14*(1+$P$3)</f>
        <v>37.0894736842105</v>
      </c>
      <c r="M14" s="18" t="n">
        <f aca="false">ROUNDUP(K14/$P$4,0)</f>
        <v>15</v>
      </c>
    </row>
    <row r="15" customFormat="false" ht="15" hidden="false" customHeight="false" outlineLevel="0" collapsed="false">
      <c r="A15" s="10" t="n">
        <v>9</v>
      </c>
      <c r="B15" s="11" t="s">
        <v>37</v>
      </c>
      <c r="C15" s="10" t="s">
        <v>36</v>
      </c>
      <c r="D15" s="12" t="n">
        <v>0.76</v>
      </c>
      <c r="E15" s="10" t="s">
        <v>22</v>
      </c>
      <c r="F15" s="10" t="n">
        <v>350</v>
      </c>
      <c r="G15" s="10" t="s">
        <v>22</v>
      </c>
      <c r="H15" s="10" t="s">
        <v>38</v>
      </c>
      <c r="I15" s="10" t="s">
        <v>22</v>
      </c>
      <c r="J15" s="12" t="n">
        <v>0.08</v>
      </c>
      <c r="K15" s="10" t="s">
        <v>22</v>
      </c>
      <c r="L15" s="13" t="n">
        <f aca="false">$C$4*$E$4*F15/1000/D15*(1+$P$3)</f>
        <v>72.1184210526316</v>
      </c>
      <c r="M15" s="14" t="n">
        <f aca="false">ROUNDUP(L15/$P$4,0)</f>
        <v>37</v>
      </c>
    </row>
    <row r="16" customFormat="false" ht="15" hidden="false" customHeight="false" outlineLevel="0" collapsed="false">
      <c r="A16" s="15" t="n">
        <v>10</v>
      </c>
      <c r="B16" s="16" t="s">
        <v>39</v>
      </c>
      <c r="C16" s="15" t="s">
        <v>36</v>
      </c>
      <c r="D16" s="17" t="n">
        <v>0.76</v>
      </c>
      <c r="E16" s="15" t="s">
        <v>22</v>
      </c>
      <c r="F16" s="15" t="s">
        <v>22</v>
      </c>
      <c r="G16" s="15" t="s">
        <v>22</v>
      </c>
      <c r="H16" s="15" t="s">
        <v>22</v>
      </c>
      <c r="I16" s="15" t="s">
        <v>22</v>
      </c>
      <c r="J16" s="15" t="s">
        <v>22</v>
      </c>
      <c r="K16" s="15" t="s">
        <v>22</v>
      </c>
      <c r="L16" s="20" t="n">
        <f aca="false">ROUND($C$4*4*$E$4,0)*75/1000*(1+$P$3)</f>
        <v>46.98</v>
      </c>
      <c r="M16" s="18" t="n">
        <f aca="false">ROUNDUP(L16/$P$4,0)</f>
        <v>24</v>
      </c>
    </row>
    <row r="18" customFormat="false" ht="57.75" hidden="false" customHeight="true" outlineLevel="0" collapsed="false">
      <c r="A18" s="21" t="s">
        <v>40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</row>
    <row r="19" customFormat="false" ht="31.5" hidden="false" customHeight="true" outlineLevel="0" collapsed="false">
      <c r="A19" s="22" t="s">
        <v>41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</sheetData>
  <mergeCells count="4">
    <mergeCell ref="A1:M1"/>
    <mergeCell ref="A2:M2"/>
    <mergeCell ref="A18:M18"/>
    <mergeCell ref="A19:M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A38"/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6" min="5" style="0" width="12"/>
    <col collapsed="false" customWidth="true" hidden="false" outlineLevel="0" max="7" min="7" style="0" width="2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42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B4" s="5" t="s">
        <v>4</v>
      </c>
      <c r="C4" s="6" t="n">
        <v>100</v>
      </c>
      <c r="D4" s="5" t="s">
        <v>43</v>
      </c>
      <c r="E4" s="7" t="n">
        <v>1.45</v>
      </c>
    </row>
    <row r="6" customFormat="false" ht="33.75" hidden="false" customHeight="true" outlineLevel="0" collapsed="false">
      <c r="A6" s="9" t="s">
        <v>8</v>
      </c>
      <c r="B6" s="9" t="s">
        <v>9</v>
      </c>
      <c r="C6" s="9" t="s">
        <v>44</v>
      </c>
      <c r="D6" s="9" t="s">
        <v>45</v>
      </c>
      <c r="E6" s="9" t="s">
        <v>46</v>
      </c>
      <c r="F6" s="9" t="s">
        <v>47</v>
      </c>
      <c r="G6" s="9" t="s">
        <v>48</v>
      </c>
    </row>
    <row r="7" customFormat="false" ht="15" hidden="false" customHeight="false" outlineLevel="0" collapsed="false">
      <c r="A7" s="10" t="n">
        <v>1</v>
      </c>
      <c r="B7" s="11" t="s">
        <v>49</v>
      </c>
      <c r="C7" s="10" t="s">
        <v>50</v>
      </c>
      <c r="D7" s="10" t="s">
        <v>51</v>
      </c>
      <c r="E7" s="12" t="n">
        <v>0.2</v>
      </c>
      <c r="F7" s="10" t="s">
        <v>52</v>
      </c>
      <c r="G7" s="13" t="n">
        <f aca="false">$C$4*$E$4*65/1000*(1+0.2)</f>
        <v>11.31</v>
      </c>
    </row>
    <row r="8" customFormat="false" ht="15" hidden="false" customHeight="false" outlineLevel="0" collapsed="false">
      <c r="A8" s="15" t="n">
        <v>2</v>
      </c>
      <c r="B8" s="16" t="s">
        <v>53</v>
      </c>
      <c r="C8" s="15" t="s">
        <v>54</v>
      </c>
      <c r="D8" s="15" t="s">
        <v>51</v>
      </c>
      <c r="E8" s="17" t="n">
        <v>0.15</v>
      </c>
      <c r="F8" s="15" t="s">
        <v>55</v>
      </c>
      <c r="G8" s="20" t="n">
        <f aca="false">$C$4*$E$4*60/1000*(1+0.15)</f>
        <v>10.005</v>
      </c>
    </row>
    <row r="9" customFormat="false" ht="15" hidden="false" customHeight="false" outlineLevel="0" collapsed="false">
      <c r="A9" s="10" t="n">
        <v>3</v>
      </c>
      <c r="B9" s="11" t="s">
        <v>56</v>
      </c>
      <c r="C9" s="10" t="s">
        <v>57</v>
      </c>
      <c r="D9" s="10" t="s">
        <v>58</v>
      </c>
      <c r="E9" s="12" t="n">
        <v>0.1</v>
      </c>
      <c r="F9" s="10" t="s">
        <v>59</v>
      </c>
      <c r="G9" s="13" t="n">
        <f aca="false">$C$4*$E$4*250/1000*(1+0.1)</f>
        <v>39.875</v>
      </c>
    </row>
    <row r="10" customFormat="false" ht="15" hidden="false" customHeight="false" outlineLevel="0" collapsed="false">
      <c r="A10" s="15" t="n">
        <v>4</v>
      </c>
      <c r="B10" s="16" t="s">
        <v>60</v>
      </c>
      <c r="C10" s="15" t="s">
        <v>61</v>
      </c>
      <c r="D10" s="15" t="s">
        <v>51</v>
      </c>
      <c r="E10" s="17" t="n">
        <v>0.08</v>
      </c>
      <c r="F10" s="15" t="s">
        <v>62</v>
      </c>
      <c r="G10" s="20" t="n">
        <f aca="false">$C$4*$E$4*150/1000*(1+0.08)</f>
        <v>23.49</v>
      </c>
    </row>
    <row r="12" customFormat="false" ht="15" hidden="false" customHeight="true" outlineLevel="0" collapsed="false">
      <c r="A12" s="23" t="s">
        <v>63</v>
      </c>
      <c r="B12" s="23"/>
      <c r="C12" s="23"/>
      <c r="D12" s="23"/>
      <c r="E12" s="23"/>
      <c r="F12" s="23"/>
      <c r="G12" s="23"/>
    </row>
  </sheetData>
  <mergeCells count="3">
    <mergeCell ref="A1:G1"/>
    <mergeCell ref="A2:G2"/>
    <mergeCell ref="A12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A38"/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3"/>
    <col collapsed="false" customWidth="true" hidden="false" outlineLevel="0" max="4" min="4" style="0" width="46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9.5" hidden="false" customHeight="true" outlineLevel="0" collapsed="false">
      <c r="A2" s="2" t="s">
        <v>64</v>
      </c>
      <c r="B2" s="2"/>
      <c r="C2" s="2"/>
      <c r="D2" s="2"/>
    </row>
    <row r="4" customFormat="false" ht="33.75" hidden="false" customHeight="true" outlineLevel="0" collapsed="false">
      <c r="A4" s="9" t="s">
        <v>8</v>
      </c>
      <c r="B4" s="9" t="s">
        <v>65</v>
      </c>
      <c r="C4" s="9" t="s">
        <v>11</v>
      </c>
      <c r="D4" s="9" t="s">
        <v>66</v>
      </c>
    </row>
    <row r="5" customFormat="false" ht="15" hidden="false" customHeight="false" outlineLevel="0" collapsed="false">
      <c r="A5" s="10" t="n">
        <v>1</v>
      </c>
      <c r="B5" s="11" t="s">
        <v>67</v>
      </c>
      <c r="C5" s="24" t="n">
        <v>0.8</v>
      </c>
      <c r="D5" s="25" t="s">
        <v>68</v>
      </c>
    </row>
    <row r="6" customFormat="false" ht="15" hidden="false" customHeight="false" outlineLevel="0" collapsed="false">
      <c r="A6" s="15" t="n">
        <v>2</v>
      </c>
      <c r="B6" s="16" t="s">
        <v>69</v>
      </c>
      <c r="C6" s="26" t="n">
        <v>0.74</v>
      </c>
      <c r="D6" s="27" t="s">
        <v>70</v>
      </c>
    </row>
    <row r="7" customFormat="false" ht="15" hidden="false" customHeight="false" outlineLevel="0" collapsed="false">
      <c r="A7" s="10" t="n">
        <v>3</v>
      </c>
      <c r="B7" s="11" t="s">
        <v>71</v>
      </c>
      <c r="C7" s="24" t="n">
        <v>0.7</v>
      </c>
      <c r="D7" s="25" t="s">
        <v>72</v>
      </c>
    </row>
    <row r="8" customFormat="false" ht="15" hidden="false" customHeight="false" outlineLevel="0" collapsed="false">
      <c r="A8" s="15" t="n">
        <v>4</v>
      </c>
      <c r="B8" s="16" t="s">
        <v>73</v>
      </c>
      <c r="C8" s="26" t="n">
        <v>0.6</v>
      </c>
      <c r="D8" s="27" t="s">
        <v>74</v>
      </c>
    </row>
    <row r="9" customFormat="false" ht="15" hidden="false" customHeight="false" outlineLevel="0" collapsed="false">
      <c r="A9" s="10" t="n">
        <v>5</v>
      </c>
      <c r="B9" s="11" t="s">
        <v>75</v>
      </c>
      <c r="C9" s="24" t="n">
        <v>0.78</v>
      </c>
      <c r="D9" s="25" t="s">
        <v>76</v>
      </c>
    </row>
    <row r="10" customFormat="false" ht="15" hidden="false" customHeight="false" outlineLevel="0" collapsed="false">
      <c r="A10" s="15" t="n">
        <v>6</v>
      </c>
      <c r="B10" s="16" t="s">
        <v>77</v>
      </c>
      <c r="C10" s="26" t="n">
        <v>0.74</v>
      </c>
      <c r="D10" s="27" t="s">
        <v>78</v>
      </c>
    </row>
    <row r="11" customFormat="false" ht="15" hidden="false" customHeight="false" outlineLevel="0" collapsed="false">
      <c r="A11" s="10" t="n">
        <v>7</v>
      </c>
      <c r="B11" s="11" t="s">
        <v>79</v>
      </c>
      <c r="C11" s="24" t="n">
        <v>0.62</v>
      </c>
      <c r="D11" s="25" t="s">
        <v>80</v>
      </c>
    </row>
    <row r="12" customFormat="false" ht="23.85" hidden="false" customHeight="false" outlineLevel="0" collapsed="false">
      <c r="A12" s="15" t="n">
        <v>8</v>
      </c>
      <c r="B12" s="16" t="s">
        <v>81</v>
      </c>
      <c r="C12" s="26" t="n">
        <v>0.76</v>
      </c>
      <c r="D12" s="27" t="s">
        <v>82</v>
      </c>
    </row>
    <row r="14" customFormat="false" ht="42" hidden="false" customHeight="true" outlineLevel="0" collapsed="false">
      <c r="A14" s="23" t="s">
        <v>83</v>
      </c>
      <c r="B14" s="23"/>
      <c r="C14" s="23"/>
      <c r="D14" s="23"/>
    </row>
  </sheetData>
  <mergeCells count="3">
    <mergeCell ref="A1:D1"/>
    <mergeCell ref="A2:D2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A38"/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4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84</v>
      </c>
      <c r="B2" s="2"/>
      <c r="C2" s="2"/>
      <c r="D2" s="2"/>
      <c r="E2" s="2"/>
    </row>
    <row r="4" customFormat="false" ht="33.75" hidden="false" customHeight="true" outlineLevel="0" collapsed="false">
      <c r="A4" s="9" t="s">
        <v>8</v>
      </c>
      <c r="B4" s="9" t="s">
        <v>85</v>
      </c>
      <c r="C4" s="9" t="s">
        <v>86</v>
      </c>
      <c r="D4" s="9" t="s">
        <v>87</v>
      </c>
      <c r="E4" s="9" t="s">
        <v>88</v>
      </c>
    </row>
    <row r="5" customFormat="false" ht="15" hidden="false" customHeight="false" outlineLevel="0" collapsed="false">
      <c r="A5" s="10" t="n">
        <v>1</v>
      </c>
      <c r="B5" s="11" t="s">
        <v>89</v>
      </c>
      <c r="C5" s="28" t="n">
        <v>1</v>
      </c>
      <c r="D5" s="10" t="s">
        <v>90</v>
      </c>
      <c r="E5" s="25" t="s">
        <v>91</v>
      </c>
    </row>
    <row r="6" customFormat="false" ht="15" hidden="false" customHeight="false" outlineLevel="0" collapsed="false">
      <c r="A6" s="15" t="n">
        <v>2</v>
      </c>
      <c r="B6" s="16" t="s">
        <v>92</v>
      </c>
      <c r="C6" s="29" t="n">
        <v>1.15</v>
      </c>
      <c r="D6" s="15" t="s">
        <v>61</v>
      </c>
      <c r="E6" s="27" t="s">
        <v>93</v>
      </c>
    </row>
    <row r="7" customFormat="false" ht="15" hidden="false" customHeight="false" outlineLevel="0" collapsed="false">
      <c r="A7" s="10" t="n">
        <v>3</v>
      </c>
      <c r="B7" s="11" t="s">
        <v>94</v>
      </c>
      <c r="C7" s="28" t="n">
        <v>1.3</v>
      </c>
      <c r="D7" s="10" t="s">
        <v>95</v>
      </c>
      <c r="E7" s="25" t="s">
        <v>96</v>
      </c>
    </row>
    <row r="8" customFormat="false" ht="15" hidden="false" customHeight="false" outlineLevel="0" collapsed="false">
      <c r="A8" s="15" t="n">
        <v>4</v>
      </c>
      <c r="B8" s="16" t="s">
        <v>97</v>
      </c>
      <c r="C8" s="29" t="n">
        <v>1.45</v>
      </c>
      <c r="D8" s="15" t="s">
        <v>98</v>
      </c>
      <c r="E8" s="27" t="s">
        <v>99</v>
      </c>
    </row>
    <row r="9" customFormat="false" ht="15" hidden="false" customHeight="false" outlineLevel="0" collapsed="false">
      <c r="A9" s="10" t="n">
        <v>5</v>
      </c>
      <c r="B9" s="11" t="s">
        <v>100</v>
      </c>
      <c r="C9" s="28" t="n">
        <v>1.5</v>
      </c>
      <c r="D9" s="10" t="s">
        <v>101</v>
      </c>
      <c r="E9" s="25" t="s">
        <v>102</v>
      </c>
    </row>
    <row r="10" customFormat="false" ht="15" hidden="false" customHeight="false" outlineLevel="0" collapsed="false">
      <c r="A10" s="15" t="n">
        <v>6</v>
      </c>
      <c r="B10" s="16" t="s">
        <v>103</v>
      </c>
      <c r="C10" s="29" t="n">
        <v>1.65</v>
      </c>
      <c r="D10" s="15" t="s">
        <v>104</v>
      </c>
      <c r="E10" s="27" t="s">
        <v>105</v>
      </c>
    </row>
    <row r="12" customFormat="false" ht="42" hidden="false" customHeight="true" outlineLevel="0" collapsed="false">
      <c r="A12" s="23" t="s">
        <v>106</v>
      </c>
      <c r="B12" s="23"/>
      <c r="C12" s="23"/>
      <c r="D12" s="23"/>
      <c r="E12" s="23"/>
    </row>
  </sheetData>
  <mergeCells count="3">
    <mergeCell ref="A1:E1"/>
    <mergeCell ref="A2:E2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A38"/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4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107</v>
      </c>
      <c r="B2" s="2"/>
      <c r="C2" s="2"/>
      <c r="D2" s="2"/>
      <c r="E2" s="2"/>
    </row>
    <row r="4" customFormat="false" ht="33.75" hidden="false" customHeight="true" outlineLevel="0" collapsed="false">
      <c r="A4" s="9" t="s">
        <v>8</v>
      </c>
      <c r="B4" s="9" t="s">
        <v>108</v>
      </c>
      <c r="C4" s="9" t="s">
        <v>109</v>
      </c>
      <c r="D4" s="9" t="s">
        <v>110</v>
      </c>
      <c r="E4" s="9" t="s">
        <v>111</v>
      </c>
    </row>
    <row r="5" customFormat="false" ht="15" hidden="false" customHeight="false" outlineLevel="0" collapsed="false">
      <c r="A5" s="10" t="n">
        <v>1</v>
      </c>
      <c r="B5" s="11" t="s">
        <v>112</v>
      </c>
      <c r="C5" s="10" t="s">
        <v>113</v>
      </c>
      <c r="D5" s="30" t="s">
        <v>114</v>
      </c>
      <c r="E5" s="25" t="s">
        <v>115</v>
      </c>
    </row>
    <row r="6" customFormat="false" ht="23.85" hidden="false" customHeight="false" outlineLevel="0" collapsed="false">
      <c r="A6" s="15" t="n">
        <v>2</v>
      </c>
      <c r="B6" s="16" t="s">
        <v>116</v>
      </c>
      <c r="C6" s="15" t="s">
        <v>117</v>
      </c>
      <c r="D6" s="30" t="s">
        <v>114</v>
      </c>
      <c r="E6" s="27" t="s">
        <v>118</v>
      </c>
    </row>
    <row r="7" customFormat="false" ht="15" hidden="false" customHeight="false" outlineLevel="0" collapsed="false">
      <c r="A7" s="10" t="n">
        <v>3</v>
      </c>
      <c r="B7" s="11" t="s">
        <v>119</v>
      </c>
      <c r="C7" s="10" t="s">
        <v>120</v>
      </c>
      <c r="D7" s="30" t="s">
        <v>114</v>
      </c>
      <c r="E7" s="25" t="s">
        <v>121</v>
      </c>
    </row>
    <row r="8" customFormat="false" ht="15" hidden="false" customHeight="false" outlineLevel="0" collapsed="false">
      <c r="A8" s="15" t="n">
        <v>4</v>
      </c>
      <c r="B8" s="16" t="s">
        <v>122</v>
      </c>
      <c r="C8" s="15" t="s">
        <v>123</v>
      </c>
      <c r="D8" s="31" t="s">
        <v>22</v>
      </c>
      <c r="E8" s="27" t="s">
        <v>124</v>
      </c>
    </row>
    <row r="9" customFormat="false" ht="15" hidden="false" customHeight="false" outlineLevel="0" collapsed="false">
      <c r="A9" s="10" t="n">
        <v>5</v>
      </c>
      <c r="B9" s="11" t="s">
        <v>125</v>
      </c>
      <c r="C9" s="10" t="s">
        <v>126</v>
      </c>
      <c r="D9" s="30" t="s">
        <v>114</v>
      </c>
      <c r="E9" s="25" t="s">
        <v>127</v>
      </c>
    </row>
    <row r="10" customFormat="false" ht="15" hidden="false" customHeight="false" outlineLevel="0" collapsed="false">
      <c r="A10" s="15" t="n">
        <v>6</v>
      </c>
      <c r="B10" s="16" t="s">
        <v>128</v>
      </c>
      <c r="C10" s="15" t="s">
        <v>117</v>
      </c>
      <c r="D10" s="30" t="s">
        <v>114</v>
      </c>
      <c r="E10" s="27" t="s">
        <v>129</v>
      </c>
    </row>
    <row r="11" customFormat="false" ht="15" hidden="false" customHeight="false" outlineLevel="0" collapsed="false">
      <c r="A11" s="10" t="n">
        <v>7</v>
      </c>
      <c r="B11" s="11" t="s">
        <v>130</v>
      </c>
      <c r="C11" s="10" t="s">
        <v>131</v>
      </c>
      <c r="D11" s="30" t="s">
        <v>114</v>
      </c>
      <c r="E11" s="25" t="s">
        <v>132</v>
      </c>
    </row>
    <row r="13" customFormat="false" ht="30" hidden="false" customHeight="true" outlineLevel="0" collapsed="false">
      <c r="A13" s="32" t="s">
        <v>133</v>
      </c>
      <c r="B13" s="32"/>
      <c r="C13" s="32"/>
      <c r="D13" s="32"/>
      <c r="E13" s="32"/>
    </row>
  </sheetData>
  <mergeCells count="3">
    <mergeCell ref="A1:E1"/>
    <mergeCell ref="A2:E2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A38"/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4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134</v>
      </c>
      <c r="B2" s="2"/>
      <c r="C2" s="2"/>
      <c r="D2" s="2"/>
      <c r="E2" s="2"/>
    </row>
    <row r="4" customFormat="false" ht="33.75" hidden="false" customHeight="true" outlineLevel="0" collapsed="false">
      <c r="A4" s="9" t="s">
        <v>8</v>
      </c>
      <c r="B4" s="9" t="s">
        <v>135</v>
      </c>
      <c r="C4" s="9" t="s">
        <v>136</v>
      </c>
      <c r="D4" s="9" t="s">
        <v>137</v>
      </c>
      <c r="E4" s="9" t="s">
        <v>138</v>
      </c>
    </row>
    <row r="5" customFormat="false" ht="15" hidden="false" customHeight="false" outlineLevel="0" collapsed="false">
      <c r="A5" s="10" t="n">
        <v>1</v>
      </c>
      <c r="B5" s="11" t="s">
        <v>139</v>
      </c>
      <c r="C5" s="10" t="s">
        <v>140</v>
      </c>
      <c r="D5" s="10" t="s">
        <v>141</v>
      </c>
      <c r="E5" s="25" t="s">
        <v>142</v>
      </c>
    </row>
    <row r="6" customFormat="false" ht="15" hidden="false" customHeight="false" outlineLevel="0" collapsed="false">
      <c r="A6" s="15" t="n">
        <v>2</v>
      </c>
      <c r="B6" s="16" t="s">
        <v>143</v>
      </c>
      <c r="C6" s="15" t="s">
        <v>140</v>
      </c>
      <c r="D6" s="15" t="s">
        <v>144</v>
      </c>
      <c r="E6" s="27" t="s">
        <v>145</v>
      </c>
    </row>
    <row r="7" customFormat="false" ht="15" hidden="false" customHeight="false" outlineLevel="0" collapsed="false">
      <c r="A7" s="10" t="n">
        <v>3</v>
      </c>
      <c r="B7" s="11" t="s">
        <v>146</v>
      </c>
      <c r="C7" s="10" t="s">
        <v>140</v>
      </c>
      <c r="D7" s="10" t="s">
        <v>147</v>
      </c>
      <c r="E7" s="25" t="s">
        <v>148</v>
      </c>
    </row>
    <row r="8" customFormat="false" ht="23.85" hidden="false" customHeight="false" outlineLevel="0" collapsed="false">
      <c r="A8" s="15" t="n">
        <v>4</v>
      </c>
      <c r="B8" s="16" t="s">
        <v>149</v>
      </c>
      <c r="C8" s="15" t="s">
        <v>22</v>
      </c>
      <c r="D8" s="15" t="s">
        <v>150</v>
      </c>
      <c r="E8" s="27" t="s">
        <v>151</v>
      </c>
    </row>
    <row r="9" customFormat="false" ht="23.85" hidden="false" customHeight="false" outlineLevel="0" collapsed="false">
      <c r="A9" s="10" t="n">
        <v>5</v>
      </c>
      <c r="B9" s="11" t="s">
        <v>152</v>
      </c>
      <c r="C9" s="10" t="s">
        <v>22</v>
      </c>
      <c r="D9" s="10" t="s">
        <v>22</v>
      </c>
      <c r="E9" s="25" t="s">
        <v>153</v>
      </c>
    </row>
    <row r="11" customFormat="false" ht="30" hidden="false" customHeight="true" outlineLevel="0" collapsed="false">
      <c r="A11" s="23" t="s">
        <v>154</v>
      </c>
      <c r="B11" s="23"/>
      <c r="C11" s="23"/>
      <c r="D11" s="23"/>
      <c r="E11" s="23"/>
    </row>
  </sheetData>
  <mergeCells count="3">
    <mergeCell ref="A1:E1"/>
    <mergeCell ref="A2:E2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A38"/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48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2" customFormat="false" ht="19.5" hidden="false" customHeight="true" outlineLevel="0" collapsed="false">
      <c r="A2" s="2" t="s">
        <v>155</v>
      </c>
      <c r="B2" s="2"/>
      <c r="C2" s="2"/>
      <c r="D2" s="2"/>
    </row>
    <row r="4" customFormat="false" ht="33.75" hidden="false" customHeight="true" outlineLevel="0" collapsed="false">
      <c r="A4" s="9" t="s">
        <v>8</v>
      </c>
      <c r="B4" s="9" t="s">
        <v>156</v>
      </c>
      <c r="C4" s="9" t="s">
        <v>157</v>
      </c>
      <c r="D4" s="9" t="s">
        <v>88</v>
      </c>
    </row>
    <row r="5" customFormat="false" ht="23.85" hidden="false" customHeight="false" outlineLevel="0" collapsed="false">
      <c r="A5" s="10" t="n">
        <v>1</v>
      </c>
      <c r="B5" s="11" t="s">
        <v>158</v>
      </c>
      <c r="C5" s="33" t="s">
        <v>159</v>
      </c>
      <c r="D5" s="25" t="s">
        <v>160</v>
      </c>
    </row>
    <row r="6" customFormat="false" ht="23.85" hidden="false" customHeight="false" outlineLevel="0" collapsed="false">
      <c r="A6" s="15" t="n">
        <v>2</v>
      </c>
      <c r="B6" s="16" t="s">
        <v>161</v>
      </c>
      <c r="C6" s="33" t="s">
        <v>162</v>
      </c>
      <c r="D6" s="27" t="s">
        <v>163</v>
      </c>
    </row>
    <row r="7" customFormat="false" ht="23.85" hidden="false" customHeight="false" outlineLevel="0" collapsed="false">
      <c r="A7" s="10" t="n">
        <v>3</v>
      </c>
      <c r="B7" s="11" t="s">
        <v>164</v>
      </c>
      <c r="C7" s="34" t="s">
        <v>165</v>
      </c>
      <c r="D7" s="25" t="s">
        <v>166</v>
      </c>
    </row>
    <row r="8" customFormat="false" ht="23.85" hidden="false" customHeight="false" outlineLevel="0" collapsed="false">
      <c r="A8" s="15" t="n">
        <v>4</v>
      </c>
      <c r="B8" s="16" t="s">
        <v>167</v>
      </c>
      <c r="C8" s="34" t="s">
        <v>168</v>
      </c>
      <c r="D8" s="27" t="s">
        <v>169</v>
      </c>
    </row>
    <row r="9" customFormat="false" ht="15" hidden="false" customHeight="false" outlineLevel="0" collapsed="false">
      <c r="A9" s="10" t="n">
        <v>5</v>
      </c>
      <c r="B9" s="11" t="s">
        <v>170</v>
      </c>
      <c r="C9" s="34" t="s">
        <v>171</v>
      </c>
      <c r="D9" s="25" t="s">
        <v>172</v>
      </c>
    </row>
    <row r="11" customFormat="false" ht="21.75" hidden="false" customHeight="true" outlineLevel="0" collapsed="false">
      <c r="A11" s="35" t="s">
        <v>173</v>
      </c>
      <c r="B11" s="35"/>
      <c r="C11" s="35"/>
      <c r="D11" s="35"/>
    </row>
    <row r="12" customFormat="false" ht="18" hidden="false" customHeight="true" outlineLevel="0" collapsed="false">
      <c r="A12" s="36" t="s">
        <v>174</v>
      </c>
      <c r="B12" s="36"/>
      <c r="C12" s="36"/>
      <c r="D12" s="36"/>
    </row>
    <row r="13" customFormat="false" ht="18" hidden="false" customHeight="true" outlineLevel="0" collapsed="false">
      <c r="A13" s="36" t="s">
        <v>175</v>
      </c>
      <c r="B13" s="36"/>
      <c r="C13" s="36"/>
      <c r="D13" s="36"/>
    </row>
    <row r="14" customFormat="false" ht="18" hidden="false" customHeight="true" outlineLevel="0" collapsed="false">
      <c r="A14" s="36" t="s">
        <v>176</v>
      </c>
      <c r="B14" s="36"/>
      <c r="C14" s="36"/>
      <c r="D14" s="36"/>
    </row>
    <row r="15" customFormat="false" ht="18" hidden="false" customHeight="true" outlineLevel="0" collapsed="false">
      <c r="A15" s="36" t="s">
        <v>177</v>
      </c>
      <c r="B15" s="36"/>
      <c r="C15" s="36"/>
      <c r="D15" s="36"/>
    </row>
  </sheetData>
  <mergeCells count="7">
    <mergeCell ref="A1:D1"/>
    <mergeCell ref="A2:D2"/>
    <mergeCell ref="A11:D11"/>
    <mergeCell ref="A12:D12"/>
    <mergeCell ref="A13:D13"/>
    <mergeCell ref="A14:D14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2026-05-23T10:04:13Z</dcterms:created>
  <dc:creator>openpyxl</dc:creator>
  <dc:description/>
  <dc:language>en-US</dc:language>
  <cp:lastModifiedBy/>
  <dcterms:modified xsi:type="dcterms:W3CDTF">2026-05-23T10:04:13Z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